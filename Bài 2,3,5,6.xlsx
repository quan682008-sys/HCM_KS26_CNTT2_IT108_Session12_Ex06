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435" activeTab="1"/>
  </bookViews>
  <sheets>
    <sheet name="Bài 2" sheetId="1" r:id="rId1"/>
    <sheet name="Bài 3" sheetId="5" r:id="rId2"/>
    <sheet name="Bài 5" sheetId="2" r:id="rId3"/>
    <sheet name="Bài 6" sheetId="3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5" l="1"/>
  <c r="C15" i="3"/>
  <c r="C16" i="3"/>
  <c r="C17" i="3"/>
  <c r="C18" i="3"/>
  <c r="E4" i="2"/>
  <c r="E5" i="2"/>
  <c r="E6" i="2"/>
  <c r="E7" i="2"/>
</calcChain>
</file>

<file path=xl/sharedStrings.xml><?xml version="1.0" encoding="utf-8"?>
<sst xmlns="http://schemas.openxmlformats.org/spreadsheetml/2006/main" count="221" uniqueCount="151">
  <si>
    <t>STT</t>
  </si>
  <si>
    <t>Họ và Tên</t>
  </si>
  <si>
    <t>Email</t>
  </si>
  <si>
    <t>SĐT</t>
  </si>
  <si>
    <t>Nguồn đăng kí</t>
  </si>
  <si>
    <t>Khóa học quan tâm</t>
  </si>
  <si>
    <t>Ngày đăng ký</t>
  </si>
  <si>
    <t>Trạng thái</t>
  </si>
  <si>
    <t>Nguyễn Văn An</t>
  </si>
  <si>
    <t>Trần Thị Bình</t>
  </si>
  <si>
    <t xml:space="preserve">Lê Minh Đức </t>
  </si>
  <si>
    <t>Phạm Thu Hà</t>
  </si>
  <si>
    <t>Đỗ Quốc Huy</t>
  </si>
  <si>
    <t>Vũ Thảo Linh</t>
  </si>
  <si>
    <t>Bùi Hoàng Nam</t>
  </si>
  <si>
    <t>Ngô Yến Nhi</t>
  </si>
  <si>
    <t>Trương Gia Bảo</t>
  </si>
  <si>
    <t>Hoàng Mai Anh</t>
  </si>
  <si>
    <t>Diễng Quang Minh</t>
  </si>
  <si>
    <t>Phan Khánh My</t>
  </si>
  <si>
    <t>an.nguyen@email.com</t>
  </si>
  <si>
    <t>binh.tran@email.com</t>
  </si>
  <si>
    <t>duc.le@email.com</t>
  </si>
  <si>
    <t>ha.pham@email.com</t>
  </si>
  <si>
    <t>nhi.ngo@email.com</t>
  </si>
  <si>
    <t>nam.bui@email.com</t>
  </si>
  <si>
    <t>linh.vu@email.com</t>
  </si>
  <si>
    <t>huy.do@email.com</t>
  </si>
  <si>
    <t>bao.truong@email.com</t>
  </si>
  <si>
    <t>anh.hoang@email.com</t>
  </si>
  <si>
    <t>minh.dieng@email.com</t>
  </si>
  <si>
    <t>my.phan@gmail.com</t>
  </si>
  <si>
    <t>0912345678</t>
  </si>
  <si>
    <t>092345678</t>
  </si>
  <si>
    <t>0934567890</t>
  </si>
  <si>
    <t>0945678901</t>
  </si>
  <si>
    <t>0956789012</t>
  </si>
  <si>
    <t>0967890123</t>
  </si>
  <si>
    <t>0978901234</t>
  </si>
  <si>
    <t>0889012345</t>
  </si>
  <si>
    <t>0990123456</t>
  </si>
  <si>
    <t>0901234567</t>
  </si>
  <si>
    <t>0913987654</t>
  </si>
  <si>
    <t>0922468135</t>
  </si>
  <si>
    <t>Website</t>
  </si>
  <si>
    <t>Facebook Ads</t>
  </si>
  <si>
    <t>Zalo QA</t>
  </si>
  <si>
    <t>Google Form</t>
  </si>
  <si>
    <t>Lập trình Python</t>
  </si>
  <si>
    <t>Thiết kế UI/UX</t>
  </si>
  <si>
    <t>Data Science</t>
  </si>
  <si>
    <t>Tiếng Anh giao tiếp</t>
  </si>
  <si>
    <t>Lập trình web</t>
  </si>
  <si>
    <t>Marketing Digital</t>
  </si>
  <si>
    <t>Excel nâng cao</t>
  </si>
  <si>
    <t>19/06/2024</t>
  </si>
  <si>
    <t>18/06/2024</t>
  </si>
  <si>
    <t>17/06/2024</t>
  </si>
  <si>
    <t>16/06/2024</t>
  </si>
  <si>
    <t>Đã xác nhận</t>
  </si>
  <si>
    <t>Chờ xác nhận</t>
  </si>
  <si>
    <r>
      <rPr>
        <b/>
        <sz val="20"/>
        <color rgb="FF002060"/>
        <rFont val="Calibri"/>
        <family val="2"/>
        <scheme val="minor"/>
      </rPr>
      <t xml:space="preserve">DANH SÁCH HỌC VIÊN ĐĂNG KÍ                      </t>
    </r>
    <r>
      <rPr>
        <sz val="11"/>
        <color rgb="FF006100"/>
        <rFont val="Calibri"/>
        <family val="2"/>
        <scheme val="minor"/>
      </rPr>
      <t xml:space="preserve">                                                                                                                    </t>
    </r>
  </si>
  <si>
    <t>Số lượng</t>
  </si>
  <si>
    <t>Tỷ lệ</t>
  </si>
  <si>
    <t>Tổng cộng</t>
  </si>
  <si>
    <t>Thời gian</t>
  </si>
  <si>
    <t xml:space="preserve">Nguồn </t>
  </si>
  <si>
    <t>IP đich</t>
  </si>
  <si>
    <t>Loại mã độc  (ID)</t>
  </si>
  <si>
    <t xml:space="preserve">Mức độ </t>
  </si>
  <si>
    <t>DỮ LIỆU CẢNH BÁO THÔ</t>
  </si>
  <si>
    <t>20-05-2024 08:15:23</t>
  </si>
  <si>
    <t>20-05-2024 08:16:11</t>
  </si>
  <si>
    <t>20-05-2024 08:21:02</t>
  </si>
  <si>
    <t>192.168.1.10</t>
  </si>
  <si>
    <t>192.168.1.23</t>
  </si>
  <si>
    <t>10.0.0.5</t>
  </si>
  <si>
    <t>10.0.0.8</t>
  </si>
  <si>
    <t>10.0.0.12</t>
  </si>
  <si>
    <t>MDL_1023</t>
  </si>
  <si>
    <t>MDL_2045</t>
  </si>
  <si>
    <t>MDL_3099</t>
  </si>
  <si>
    <t>Cao</t>
  </si>
  <si>
    <t>Trung bình</t>
  </si>
  <si>
    <t>Column1</t>
  </si>
  <si>
    <t>Column2</t>
  </si>
  <si>
    <t>…</t>
  </si>
  <si>
    <t>Loại mã độc</t>
  </si>
  <si>
    <t>Tên mã độc</t>
  </si>
  <si>
    <t>Mô tả</t>
  </si>
  <si>
    <t>Mức độ mặc định</t>
  </si>
  <si>
    <t>Emotet</t>
  </si>
  <si>
    <t>Lokibot</t>
  </si>
  <si>
    <t>Cobalt Strike</t>
  </si>
  <si>
    <t>Banking Trojan</t>
  </si>
  <si>
    <t>Infor Stealer</t>
  </si>
  <si>
    <t>Penetration Tool</t>
  </si>
  <si>
    <t>BẢN ĐỊNH NGHĨA LOẠI MÃ ĐỘC</t>
  </si>
  <si>
    <t xml:space="preserve">   MDL_1023</t>
  </si>
  <si>
    <t xml:space="preserve">   MDL_3099</t>
  </si>
  <si>
    <t>SH001</t>
  </si>
  <si>
    <t>SH006</t>
  </si>
  <si>
    <t>SH005</t>
  </si>
  <si>
    <t>SH004</t>
  </si>
  <si>
    <t>SH003</t>
  </si>
  <si>
    <t>SH002</t>
  </si>
  <si>
    <t>Tên BĐS</t>
  </si>
  <si>
    <t>Loại BĐS</t>
  </si>
  <si>
    <t>Giá bán (VND)</t>
  </si>
  <si>
    <t>Mã MG</t>
  </si>
  <si>
    <t>Mô giới</t>
  </si>
  <si>
    <t>Tỷ lệ hoa hồng</t>
  </si>
  <si>
    <t>Hoa hồng (VND)</t>
  </si>
  <si>
    <t>Villa Riverside</t>
  </si>
  <si>
    <t>Sunrise Apartment</t>
  </si>
  <si>
    <t>Green Park House</t>
  </si>
  <si>
    <t>Skyline Apartment</t>
  </si>
  <si>
    <t>Ocean View Villa</t>
  </si>
  <si>
    <t>Central House</t>
  </si>
  <si>
    <t>Biệt thự</t>
  </si>
  <si>
    <t>Căn hộ</t>
  </si>
  <si>
    <t>Nhà phố</t>
  </si>
  <si>
    <t>15.000.000.000</t>
  </si>
  <si>
    <t>3.200.000.000</t>
  </si>
  <si>
    <t>6.800.000.000</t>
  </si>
  <si>
    <t>2.650.000.000</t>
  </si>
  <si>
    <t>18.500.000.000</t>
  </si>
  <si>
    <t>5.200.000.000</t>
  </si>
  <si>
    <t>MG01</t>
  </si>
  <si>
    <t>MG02</t>
  </si>
  <si>
    <t>MG03</t>
  </si>
  <si>
    <t>MG04</t>
  </si>
  <si>
    <t>Nguyễn An</t>
  </si>
  <si>
    <t>Trần Minh</t>
  </si>
  <si>
    <t>Lê Hằng</t>
  </si>
  <si>
    <t>Phạm Nam</t>
  </si>
  <si>
    <t>300.000.000</t>
  </si>
  <si>
    <t>48.000.000</t>
  </si>
  <si>
    <t>122.400.000</t>
  </si>
  <si>
    <t>39.750.000</t>
  </si>
  <si>
    <t>370.000.000</t>
  </si>
  <si>
    <t>83.200.000</t>
  </si>
  <si>
    <t>DANH SÁCH NHÀ ĐẤT</t>
  </si>
  <si>
    <t>BẢNG TRA CỨU MÔ GIỚI</t>
  </si>
  <si>
    <t>Hỏa tốc</t>
  </si>
  <si>
    <t>DỊch vụ</t>
  </si>
  <si>
    <t>Đơn giá</t>
  </si>
  <si>
    <t>Giao nhanh</t>
  </si>
  <si>
    <t>Tiết kiệm</t>
  </si>
  <si>
    <t>Tiền cước</t>
  </si>
  <si>
    <t>Dịch vụ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</si>
</sst>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color rgb="FF002060"/>
      <name val="Calibri"/>
      <family val="2"/>
      <scheme val="minor"/>
    </font>
    <font>
      <b/>
      <sz val="18"/>
      <color rgb="FF002060"/>
      <name val="Calibri"/>
      <family val="2"/>
      <scheme val="minor"/>
    </font>
    <font>
      <b/>
      <sz val="18"/>
      <color rgb="FF7030A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theme="5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0" fontId="4" fillId="5" borderId="0" applyNumberFormat="0" applyBorder="0" applyAlignment="0" applyProtection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5" fillId="0" borderId="0" xfId="5" applyAlignment="1">
      <alignment horizontal="center"/>
    </xf>
    <xf numFmtId="0" fontId="0" fillId="0" borderId="0" xfId="0" quotePrefix="1" applyAlignment="1">
      <alignment horizontal="center"/>
    </xf>
    <xf numFmtId="0" fontId="3" fillId="4" borderId="1" xfId="3" applyAlignment="1">
      <alignment horizontal="center"/>
    </xf>
    <xf numFmtId="0" fontId="1" fillId="2" borderId="0" xfId="1" applyAlignment="1">
      <alignment horizontal="center"/>
    </xf>
    <xf numFmtId="0" fontId="2" fillId="3" borderId="0" xfId="2" applyAlignment="1">
      <alignment horizontal="center"/>
    </xf>
    <xf numFmtId="0" fontId="7" fillId="3" borderId="0" xfId="2" applyFont="1" applyAlignment="1">
      <alignment horizontal="center"/>
    </xf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center"/>
    </xf>
    <xf numFmtId="0" fontId="4" fillId="5" borderId="0" xfId="4" applyAlignment="1">
      <alignment horizontal="center"/>
    </xf>
    <xf numFmtId="0" fontId="8" fillId="5" borderId="0" xfId="4" applyFont="1" applyAlignment="1">
      <alignment horizontal="center"/>
    </xf>
    <xf numFmtId="10" fontId="0" fillId="0" borderId="0" xfId="0" applyNumberFormat="1" applyAlignment="1">
      <alignment horizontal="center"/>
    </xf>
    <xf numFmtId="10" fontId="3" fillId="4" borderId="1" xfId="3" applyNumberFormat="1" applyAlignment="1">
      <alignment horizontal="center"/>
    </xf>
    <xf numFmtId="9" fontId="3" fillId="4" borderId="1" xfId="3" applyNumberFormat="1" applyAlignment="1">
      <alignment horizontal="center"/>
    </xf>
  </cellXfs>
  <cellStyles count="6">
    <cellStyle name="Accent2" xfId="4" builtinId="33"/>
    <cellStyle name="Bad" xfId="2" builtinId="27"/>
    <cellStyle name="Good" xfId="1" builtinId="26"/>
    <cellStyle name="Hyperlink" xfId="5" builtinId="8"/>
    <cellStyle name="Normal" xfId="0" builtinId="0"/>
    <cellStyle name="Output" xfId="3" builtinId="21"/>
  </cellStyles>
  <dxfs count="4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THỐNG</a:t>
            </a:r>
            <a:r>
              <a:rPr lang="en-US" baseline="0"/>
              <a:t> KÊ THEO TRẠNG THÁI</a:t>
            </a:r>
            <a:endParaRPr lang="vi-V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'Bài 2'!$G$23</c:f>
              <c:strCache>
                <c:ptCount val="1"/>
                <c:pt idx="0">
                  <c:v>Số lượng</c:v>
                </c:pt>
              </c:strCache>
            </c:strRef>
          </c:tx>
          <c:dPt>
            <c:idx val="0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4.7818931287435237E-2"/>
                  <c:y val="0.11872657865515968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95872C7-9477-4CC2-8D08-B7ACB11F27B3}" type="VALUE">
                      <a:rPr lang="en-US"/>
                      <a:pPr>
                        <a:defRPr/>
                      </a:pPr>
                      <a:t>[VALUE]</a:t>
                    </a:fld>
                    <a:r>
                      <a:rPr lang="en-US" baseline="0"/>
                      <a:t> (</a:t>
                    </a:r>
                    <a:fld id="{2B7B1870-866F-4F66-BA08-332DF4BC5B1F}" type="PERCENTAGE">
                      <a:rPr lang="en-US" baseline="0"/>
                      <a:pPr>
                        <a:defRPr/>
                      </a:pPr>
                      <a:t>[PERCENTAGE]</a:t>
                    </a:fld>
                    <a:r>
                      <a:rPr lang="en-US" baseline="0"/>
                      <a:t>)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899656773672521"/>
                      <c:h val="0.26736092925549287"/>
                    </c:manualLayout>
                  </c15:layout>
                  <c15:dlblFieldTable/>
                  <c15:showDataLabelsRange val="0"/>
                </c:ext>
              </c:extLst>
            </c:dLbl>
            <c:dLbl>
              <c:idx val="1"/>
              <c:layout>
                <c:manualLayout>
                  <c:x val="0.41388888888888875"/>
                  <c:y val="-3.3100029163021287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D6363F7-8610-4FCF-8602-E3D461FB2E70}" type="VALUE">
                      <a:rPr lang="en-US"/>
                      <a:pPr>
                        <a:defRPr/>
                      </a:pPr>
                      <a:t>[VALUE]</a:t>
                    </a:fld>
                    <a:r>
                      <a:rPr lang="en-US" baseline="0"/>
                      <a:t> (</a:t>
                    </a:r>
                    <a:fld id="{47FBA0AC-2E0A-431A-96C6-C4801D46A1C8}" type="PERCENTAGE">
                      <a:rPr lang="en-US" baseline="0"/>
                      <a:pPr>
                        <a:defRPr/>
                      </a:pPr>
                      <a:t>[PERCENTAGE]</a:t>
                    </a:fld>
                    <a:r>
                      <a:rPr lang="en-US" baseline="0"/>
                      <a:t>)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36111111111111"/>
                      <c:h val="0.15856481481481483"/>
                    </c:manualLayout>
                  </c15:layout>
                  <c15:dlblFieldTable/>
                  <c15:showDataLabelsRange val="0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'Bài 2'!$F$24:$F$25</c:f>
              <c:strCache>
                <c:ptCount val="2"/>
                <c:pt idx="0">
                  <c:v>Chờ xác nhận</c:v>
                </c:pt>
                <c:pt idx="1">
                  <c:v>Đã xác nhận</c:v>
                </c:pt>
              </c:strCache>
            </c:strRef>
          </c:cat>
          <c:val>
            <c:numRef>
              <c:f>'Bài 2'!$G$24:$G$25</c:f>
              <c:numCache>
                <c:formatCode>General</c:formatCode>
                <c:ptCount val="2"/>
                <c:pt idx="0">
                  <c:v>18</c:v>
                </c:pt>
                <c:pt idx="1">
                  <c:v>48</c:v>
                </c:pt>
              </c:numCache>
            </c:numRef>
          </c:val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409575</xdr:colOff>
      <xdr:row>18</xdr:row>
      <xdr:rowOff>38100</xdr:rowOff>
    </xdr:from>
    <xdr:to>
      <xdr:col>11</xdr:col>
      <xdr:colOff>352425</xdr:colOff>
      <xdr:row>29</xdr:row>
      <xdr:rowOff>42862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4:H16" totalsRowShown="0" headerRowDxfId="45" dataDxfId="44" headerRowCellStyle="60% - Accent1" dataCellStyle="60% - Accent1">
  <autoFilter ref="A4:H16"/>
  <tableColumns count="8">
    <tableColumn id="1" name="STT" dataDxfId="43"/>
    <tableColumn id="2" name="Họ và Tên" dataDxfId="42"/>
    <tableColumn id="3" name="Email" dataDxfId="41" dataCellStyle="Hyperlink"/>
    <tableColumn id="4" name="SĐT" dataDxfId="40"/>
    <tableColumn id="5" name="Nguồn đăng kí" dataDxfId="39"/>
    <tableColumn id="6" name="Khóa học quan tâm" dataDxfId="38"/>
    <tableColumn id="7" name="Ngày đăng ký" dataDxfId="37"/>
    <tableColumn id="8" name="Trạng thái" dataDxfId="3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B22:D27" totalsRowShown="0" headerRowDxfId="1" dataDxfId="0" headerRowCellStyle="Output" dataCellStyle="Output">
  <autoFilter ref="B22:D27"/>
  <tableColumns count="3">
    <tableColumn id="1" name="Nguồn đăng kí" dataDxfId="4" dataCellStyle="Output"/>
    <tableColumn id="2" name="Số lượng" dataDxfId="3" dataCellStyle="Output"/>
    <tableColumn id="3" name="Tỷ lệ" dataDxfId="2" dataCellStyle="Outpu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F23:G25" totalsRowShown="0" headerRowDxfId="32" dataDxfId="33">
  <autoFilter ref="F23:G25"/>
  <tableColumns count="2">
    <tableColumn id="1" name="Trạng thái" dataDxfId="35"/>
    <tableColumn id="2" name="Số lượng" dataDxfId="3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12" name="Table12" displayName="Table12" ref="C5:D8" totalsRowShown="0">
  <autoFilter ref="C5:D8"/>
  <tableColumns count="2">
    <tableColumn id="1" name="DỊch vụ"/>
    <tableColumn id="2" name="Đơn giá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14" name="Table14" displayName="Table14" ref="A5:B6" totalsRowShown="0">
  <autoFilter ref="A5:B6"/>
  <tableColumns count="2">
    <tableColumn id="1" name="Dịch vụ"/>
    <tableColumn id="2" name="Tiền cước">
      <calculatedColumnFormula>VLOOKUP(A6, $C$6:$D$8, 2, FALSE)</calculatedColumnFormula>
    </tableColumn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3:F7" totalsRowShown="0">
  <autoFilter ref="A3:F7"/>
  <tableColumns count="6">
    <tableColumn id="1" name="Thời gian" dataDxfId="31"/>
    <tableColumn id="2" name="Nguồn " dataDxfId="30"/>
    <tableColumn id="3" name="IP đich" dataDxfId="29"/>
    <tableColumn id="4" name="Loại mã độc  (ID)"/>
    <tableColumn id="5" name="Tên mã độc" dataDxfId="21">
      <calculatedColumnFormula>VLOOKUP(TRIM(D4), $A$14:$D$17, 2, FALSE)</calculatedColumnFormula>
    </tableColumn>
    <tableColumn id="6" name="Mức độ " dataDxfId="22"/>
  </tableColumns>
  <tableStyleInfo name="TableStyleLight17" showFirstColumn="0" showLastColumn="0" showRowStripes="1" showColumnStripes="0"/>
</table>
</file>

<file path=xl/tables/table7.xml><?xml version="1.0" encoding="utf-8"?>
<table xmlns="http://schemas.openxmlformats.org/spreadsheetml/2006/main" id="8" name="Table8" displayName="Table8" ref="A13:D17" totalsRowShown="0" headerRowDxfId="24" dataDxfId="23">
  <autoFilter ref="A13:D17"/>
  <tableColumns count="4">
    <tableColumn id="1" name="Loại mã độc" dataDxfId="28"/>
    <tableColumn id="2" name="Tên mã độc" dataDxfId="27"/>
    <tableColumn id="3" name="Mô tả" dataDxfId="26"/>
    <tableColumn id="4" name="Mức độ mặc định" dataDxfId="2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9" name="Table9" displayName="Table9" ref="A3:I9" totalsRowShown="0" headerRowDxfId="6" dataDxfId="5">
  <autoFilter ref="A3:I9"/>
  <tableColumns count="9">
    <tableColumn id="1" name="Column1" dataDxfId="15"/>
    <tableColumn id="2" name="Column2" dataDxfId="14"/>
    <tableColumn id="3" name="Tên BĐS" dataDxfId="13"/>
    <tableColumn id="4" name="Loại BĐS" dataDxfId="12"/>
    <tableColumn id="5" name="Giá bán (VND)" dataDxfId="11"/>
    <tableColumn id="6" name="Mã MG" dataDxfId="10"/>
    <tableColumn id="7" name="Mô giới" dataDxfId="9"/>
    <tableColumn id="8" name="Tỷ lệ hoa hồng" dataDxfId="8"/>
    <tableColumn id="9" name="Hoa hồng (VND)" dataDxfId="7"/>
  </tableColumns>
  <tableStyleInfo name="TableStyleMedium5" showFirstColumn="0" showLastColumn="0" showRowStripes="1" showColumnStripes="0"/>
</table>
</file>

<file path=xl/tables/table9.xml><?xml version="1.0" encoding="utf-8"?>
<table xmlns="http://schemas.openxmlformats.org/spreadsheetml/2006/main" id="10" name="Table10" displayName="Table10" ref="A14:C18" totalsRowShown="0" headerRowDxfId="17" dataDxfId="16">
  <autoFilter ref="A14:C18"/>
  <tableColumns count="3">
    <tableColumn id="1" name="Mã MG" dataDxfId="20"/>
    <tableColumn id="2" name="Mô giới" dataDxfId="19"/>
    <tableColumn id="3" name="Tỷ lệ hoa hồng" dataDxfId="18">
      <calculatedColumnFormula>VLOOKUP(B15, $G$4:$I$9, 2, FALSE)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hi.ngo@email.com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duc.le@email.com" TargetMode="External"/><Relationship Id="rId7" Type="http://schemas.openxmlformats.org/officeDocument/2006/relationships/hyperlink" Target="mailto:nam.bui@email.com" TargetMode="External"/><Relationship Id="rId12" Type="http://schemas.openxmlformats.org/officeDocument/2006/relationships/hyperlink" Target="mailto:my.phan@gmail.com" TargetMode="External"/><Relationship Id="rId17" Type="http://schemas.openxmlformats.org/officeDocument/2006/relationships/table" Target="../tables/table3.xml"/><Relationship Id="rId2" Type="http://schemas.openxmlformats.org/officeDocument/2006/relationships/hyperlink" Target="mailto:binh.tran@email.com" TargetMode="External"/><Relationship Id="rId16" Type="http://schemas.openxmlformats.org/officeDocument/2006/relationships/table" Target="../tables/table2.xml"/><Relationship Id="rId1" Type="http://schemas.openxmlformats.org/officeDocument/2006/relationships/hyperlink" Target="mailto:an.nguyen@email.com" TargetMode="External"/><Relationship Id="rId6" Type="http://schemas.openxmlformats.org/officeDocument/2006/relationships/hyperlink" Target="mailto:linh.vu@email.com" TargetMode="External"/><Relationship Id="rId11" Type="http://schemas.openxmlformats.org/officeDocument/2006/relationships/hyperlink" Target="mailto:minh.dieng@email.com" TargetMode="External"/><Relationship Id="rId5" Type="http://schemas.openxmlformats.org/officeDocument/2006/relationships/hyperlink" Target="mailto:huy.do@email.com" TargetMode="External"/><Relationship Id="rId15" Type="http://schemas.openxmlformats.org/officeDocument/2006/relationships/table" Target="../tables/table1.xml"/><Relationship Id="rId10" Type="http://schemas.openxmlformats.org/officeDocument/2006/relationships/hyperlink" Target="mailto:anh.hoang@email.com" TargetMode="External"/><Relationship Id="rId4" Type="http://schemas.openxmlformats.org/officeDocument/2006/relationships/hyperlink" Target="mailto:ha.pham@email.com" TargetMode="External"/><Relationship Id="rId9" Type="http://schemas.openxmlformats.org/officeDocument/2006/relationships/hyperlink" Target="mailto:bao.truong@email.com" TargetMode="External"/><Relationship Id="rId1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selection activeCell="A39" sqref="A39"/>
    </sheetView>
  </sheetViews>
  <sheetFormatPr defaultRowHeight="15" x14ac:dyDescent="0.25"/>
  <cols>
    <col min="2" max="2" width="18.28515625" customWidth="1"/>
    <col min="3" max="3" width="35" customWidth="1"/>
    <col min="4" max="4" width="18.140625" customWidth="1"/>
    <col min="5" max="5" width="18" customWidth="1"/>
    <col min="6" max="6" width="19.85546875" customWidth="1"/>
    <col min="7" max="7" width="18.7109375" customWidth="1"/>
    <col min="8" max="8" width="18" customWidth="1"/>
  </cols>
  <sheetData>
    <row r="1" spans="1:8" ht="15" customHeight="1" x14ac:dyDescent="0.25">
      <c r="A1" s="5" t="s">
        <v>61</v>
      </c>
      <c r="B1" s="5"/>
      <c r="C1" s="5"/>
      <c r="D1" s="5"/>
      <c r="E1" s="5"/>
      <c r="F1" s="5"/>
      <c r="G1" s="5"/>
      <c r="H1" s="5"/>
    </row>
    <row r="2" spans="1:8" x14ac:dyDescent="0.25">
      <c r="A2" s="5"/>
      <c r="B2" s="5"/>
      <c r="C2" s="5"/>
      <c r="D2" s="5"/>
      <c r="E2" s="5"/>
      <c r="F2" s="5"/>
      <c r="G2" s="5"/>
      <c r="H2" s="5"/>
    </row>
    <row r="3" spans="1:8" x14ac:dyDescent="0.25">
      <c r="A3" s="5"/>
      <c r="B3" s="5"/>
      <c r="C3" s="5"/>
      <c r="D3" s="5"/>
      <c r="E3" s="5"/>
      <c r="F3" s="5"/>
      <c r="G3" s="5"/>
      <c r="H3" s="5"/>
    </row>
    <row r="4" spans="1:8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</row>
    <row r="5" spans="1:8" x14ac:dyDescent="0.25">
      <c r="A5" s="1">
        <v>1</v>
      </c>
      <c r="B5" s="1" t="s">
        <v>8</v>
      </c>
      <c r="C5" s="2" t="s">
        <v>20</v>
      </c>
      <c r="D5" s="3" t="s">
        <v>32</v>
      </c>
      <c r="E5" s="1" t="s">
        <v>44</v>
      </c>
      <c r="F5" s="1" t="s">
        <v>48</v>
      </c>
      <c r="G5" s="1" t="s">
        <v>55</v>
      </c>
      <c r="H5" s="1" t="s">
        <v>59</v>
      </c>
    </row>
    <row r="6" spans="1:8" x14ac:dyDescent="0.25">
      <c r="A6" s="1">
        <v>2</v>
      </c>
      <c r="B6" s="1" t="s">
        <v>9</v>
      </c>
      <c r="C6" s="2" t="s">
        <v>21</v>
      </c>
      <c r="D6" s="3" t="s">
        <v>33</v>
      </c>
      <c r="E6" s="1" t="s">
        <v>45</v>
      </c>
      <c r="F6" s="1" t="s">
        <v>49</v>
      </c>
      <c r="G6" s="1" t="s">
        <v>55</v>
      </c>
      <c r="H6" s="1" t="s">
        <v>59</v>
      </c>
    </row>
    <row r="7" spans="1:8" x14ac:dyDescent="0.25">
      <c r="A7" s="1">
        <v>3</v>
      </c>
      <c r="B7" s="1" t="s">
        <v>10</v>
      </c>
      <c r="C7" s="2" t="s">
        <v>22</v>
      </c>
      <c r="D7" s="3" t="s">
        <v>34</v>
      </c>
      <c r="E7" s="1" t="s">
        <v>47</v>
      </c>
      <c r="F7" s="1" t="s">
        <v>50</v>
      </c>
      <c r="G7" s="1" t="s">
        <v>56</v>
      </c>
      <c r="H7" s="1" t="s">
        <v>60</v>
      </c>
    </row>
    <row r="8" spans="1:8" x14ac:dyDescent="0.25">
      <c r="A8" s="1">
        <v>4</v>
      </c>
      <c r="B8" s="1" t="s">
        <v>11</v>
      </c>
      <c r="C8" s="2" t="s">
        <v>23</v>
      </c>
      <c r="D8" s="3" t="s">
        <v>35</v>
      </c>
      <c r="E8" s="1" t="s">
        <v>46</v>
      </c>
      <c r="F8" s="1" t="s">
        <v>51</v>
      </c>
      <c r="G8" s="1" t="s">
        <v>56</v>
      </c>
      <c r="H8" s="1" t="s">
        <v>59</v>
      </c>
    </row>
    <row r="9" spans="1:8" x14ac:dyDescent="0.25">
      <c r="A9" s="1">
        <v>5</v>
      </c>
      <c r="B9" s="1" t="s">
        <v>12</v>
      </c>
      <c r="C9" s="2" t="s">
        <v>27</v>
      </c>
      <c r="D9" s="3" t="s">
        <v>36</v>
      </c>
      <c r="E9" s="1" t="s">
        <v>44</v>
      </c>
      <c r="F9" s="1" t="s">
        <v>52</v>
      </c>
      <c r="G9" s="1" t="s">
        <v>56</v>
      </c>
      <c r="H9" s="1" t="s">
        <v>59</v>
      </c>
    </row>
    <row r="10" spans="1:8" x14ac:dyDescent="0.25">
      <c r="A10" s="1">
        <v>6</v>
      </c>
      <c r="B10" s="1" t="s">
        <v>13</v>
      </c>
      <c r="C10" s="2" t="s">
        <v>26</v>
      </c>
      <c r="D10" s="3" t="s">
        <v>37</v>
      </c>
      <c r="E10" s="1" t="s">
        <v>45</v>
      </c>
      <c r="F10" s="1" t="s">
        <v>53</v>
      </c>
      <c r="G10" s="1" t="s">
        <v>57</v>
      </c>
      <c r="H10" s="1" t="s">
        <v>60</v>
      </c>
    </row>
    <row r="11" spans="1:8" x14ac:dyDescent="0.25">
      <c r="A11" s="1">
        <v>7</v>
      </c>
      <c r="B11" s="1" t="s">
        <v>14</v>
      </c>
      <c r="C11" s="2" t="s">
        <v>25</v>
      </c>
      <c r="D11" s="3" t="s">
        <v>38</v>
      </c>
      <c r="E11" s="1" t="s">
        <v>47</v>
      </c>
      <c r="F11" s="1" t="s">
        <v>54</v>
      </c>
      <c r="G11" s="1" t="s">
        <v>57</v>
      </c>
      <c r="H11" s="1" t="s">
        <v>59</v>
      </c>
    </row>
    <row r="12" spans="1:8" x14ac:dyDescent="0.25">
      <c r="A12" s="1">
        <v>8</v>
      </c>
      <c r="B12" s="1" t="s">
        <v>15</v>
      </c>
      <c r="C12" s="2" t="s">
        <v>24</v>
      </c>
      <c r="D12" s="3" t="s">
        <v>39</v>
      </c>
      <c r="E12" s="1" t="s">
        <v>44</v>
      </c>
      <c r="F12" s="1" t="s">
        <v>48</v>
      </c>
      <c r="G12" s="1" t="s">
        <v>57</v>
      </c>
      <c r="H12" s="1" t="s">
        <v>59</v>
      </c>
    </row>
    <row r="13" spans="1:8" x14ac:dyDescent="0.25">
      <c r="A13" s="1">
        <v>9</v>
      </c>
      <c r="B13" s="1" t="s">
        <v>16</v>
      </c>
      <c r="C13" s="2" t="s">
        <v>28</v>
      </c>
      <c r="D13" s="3" t="s">
        <v>40</v>
      </c>
      <c r="E13" s="1" t="s">
        <v>46</v>
      </c>
      <c r="F13" s="1" t="s">
        <v>50</v>
      </c>
      <c r="G13" s="1" t="s">
        <v>58</v>
      </c>
      <c r="H13" s="1" t="s">
        <v>60</v>
      </c>
    </row>
    <row r="14" spans="1:8" x14ac:dyDescent="0.25">
      <c r="A14" s="1">
        <v>10</v>
      </c>
      <c r="B14" s="1" t="s">
        <v>17</v>
      </c>
      <c r="C14" s="2" t="s">
        <v>29</v>
      </c>
      <c r="D14" s="3" t="s">
        <v>41</v>
      </c>
      <c r="E14" s="1" t="s">
        <v>45</v>
      </c>
      <c r="F14" s="1" t="s">
        <v>51</v>
      </c>
      <c r="G14" s="1" t="s">
        <v>58</v>
      </c>
      <c r="H14" s="1" t="s">
        <v>59</v>
      </c>
    </row>
    <row r="15" spans="1:8" x14ac:dyDescent="0.25">
      <c r="A15" s="1">
        <v>11</v>
      </c>
      <c r="B15" s="1" t="s">
        <v>18</v>
      </c>
      <c r="C15" s="2" t="s">
        <v>30</v>
      </c>
      <c r="D15" s="3" t="s">
        <v>42</v>
      </c>
      <c r="E15" s="1" t="s">
        <v>47</v>
      </c>
      <c r="F15" s="1" t="s">
        <v>52</v>
      </c>
      <c r="G15" s="1" t="s">
        <v>58</v>
      </c>
      <c r="H15" s="1" t="s">
        <v>59</v>
      </c>
    </row>
    <row r="16" spans="1:8" x14ac:dyDescent="0.25">
      <c r="A16" s="1">
        <v>12</v>
      </c>
      <c r="B16" s="1" t="s">
        <v>19</v>
      </c>
      <c r="C16" s="2" t="s">
        <v>31</v>
      </c>
      <c r="D16" s="3" t="s">
        <v>43</v>
      </c>
      <c r="E16" s="1" t="s">
        <v>44</v>
      </c>
      <c r="F16" s="1" t="s">
        <v>53</v>
      </c>
      <c r="G16" s="1" t="s">
        <v>58</v>
      </c>
      <c r="H16" s="1" t="s">
        <v>59</v>
      </c>
    </row>
    <row r="22" spans="2:7" x14ac:dyDescent="0.25">
      <c r="B22" s="4" t="s">
        <v>4</v>
      </c>
      <c r="C22" s="4" t="s">
        <v>62</v>
      </c>
      <c r="D22" s="4" t="s">
        <v>63</v>
      </c>
    </row>
    <row r="23" spans="2:7" x14ac:dyDescent="0.25">
      <c r="B23" s="4" t="s">
        <v>44</v>
      </c>
      <c r="C23" s="4">
        <v>24</v>
      </c>
      <c r="D23" s="13">
        <v>0.36399999999999999</v>
      </c>
      <c r="F23" s="1" t="s">
        <v>7</v>
      </c>
      <c r="G23" s="1" t="s">
        <v>62</v>
      </c>
    </row>
    <row r="24" spans="2:7" x14ac:dyDescent="0.25">
      <c r="B24" s="4" t="s">
        <v>45</v>
      </c>
      <c r="C24" s="4">
        <v>18</v>
      </c>
      <c r="D24" s="13">
        <v>0.27300000000000002</v>
      </c>
      <c r="F24" s="1" t="s">
        <v>60</v>
      </c>
      <c r="G24" s="1">
        <v>18</v>
      </c>
    </row>
    <row r="25" spans="2:7" x14ac:dyDescent="0.25">
      <c r="B25" s="4" t="s">
        <v>47</v>
      </c>
      <c r="C25" s="4">
        <v>14</v>
      </c>
      <c r="D25" s="13">
        <v>0.312</v>
      </c>
      <c r="F25" s="1" t="s">
        <v>59</v>
      </c>
      <c r="G25" s="1">
        <v>48</v>
      </c>
    </row>
    <row r="26" spans="2:7" x14ac:dyDescent="0.25">
      <c r="B26" s="4" t="s">
        <v>46</v>
      </c>
      <c r="C26" s="4">
        <v>10</v>
      </c>
      <c r="D26" s="13">
        <v>0.152</v>
      </c>
    </row>
    <row r="27" spans="2:7" x14ac:dyDescent="0.25">
      <c r="B27" s="4" t="s">
        <v>64</v>
      </c>
      <c r="C27" s="4">
        <v>66</v>
      </c>
      <c r="D27" s="14">
        <v>1</v>
      </c>
    </row>
  </sheetData>
  <mergeCells count="1">
    <mergeCell ref="A1:H3"/>
  </mergeCells>
  <hyperlinks>
    <hyperlink ref="C5" r:id="rId1"/>
    <hyperlink ref="C6" r:id="rId2"/>
    <hyperlink ref="C7" r:id="rId3"/>
    <hyperlink ref="C8" r:id="rId4"/>
    <hyperlink ref="C9" r:id="rId5"/>
    <hyperlink ref="C10" r:id="rId6"/>
    <hyperlink ref="C11" r:id="rId7"/>
    <hyperlink ref="C12" r:id="rId8"/>
    <hyperlink ref="C13" r:id="rId9"/>
    <hyperlink ref="C14" r:id="rId10"/>
    <hyperlink ref="C15" r:id="rId11"/>
    <hyperlink ref="C16" r:id="rId12"/>
  </hyperlinks>
  <pageMargins left="0.7" right="0.7" top="0.75" bottom="0.75" header="0.3" footer="0.3"/>
  <pageSetup orientation="portrait" r:id="rId13"/>
  <drawing r:id="rId14"/>
  <tableParts count="3">
    <tablePart r:id="rId15"/>
    <tablePart r:id="rId16"/>
    <tablePart r:id="rId1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D8"/>
  <sheetViews>
    <sheetView tabSelected="1" workbookViewId="0">
      <selection activeCell="A12" sqref="A12"/>
    </sheetView>
  </sheetViews>
  <sheetFormatPr defaultRowHeight="15" x14ac:dyDescent="0.25"/>
  <cols>
    <col min="1" max="1" width="17.5703125" customWidth="1"/>
    <col min="2" max="2" width="27.28515625" customWidth="1"/>
    <col min="3" max="3" width="18" customWidth="1"/>
    <col min="4" max="4" width="10.140625" customWidth="1"/>
    <col min="11" max="12" width="9.140625" customWidth="1"/>
  </cols>
  <sheetData>
    <row r="5" spans="1:4" x14ac:dyDescent="0.25">
      <c r="A5" t="s">
        <v>150</v>
      </c>
      <c r="B5" t="s">
        <v>149</v>
      </c>
      <c r="C5" t="s">
        <v>145</v>
      </c>
      <c r="D5" t="s">
        <v>146</v>
      </c>
    </row>
    <row r="6" spans="1:4" x14ac:dyDescent="0.25">
      <c r="A6" t="s">
        <v>147</v>
      </c>
      <c r="B6">
        <f>VLOOKUP(A6, $C$6:$D$8, 2, FALSE)</f>
        <v>30000</v>
      </c>
      <c r="C6" t="s">
        <v>147</v>
      </c>
      <c r="D6">
        <v>30000</v>
      </c>
    </row>
    <row r="7" spans="1:4" x14ac:dyDescent="0.25">
      <c r="C7" t="s">
        <v>148</v>
      </c>
      <c r="D7">
        <v>15000</v>
      </c>
    </row>
    <row r="8" spans="1:4" x14ac:dyDescent="0.25">
      <c r="C8" t="s">
        <v>144</v>
      </c>
      <c r="D8">
        <v>50000</v>
      </c>
    </row>
  </sheetData>
  <dataValidations count="1">
    <dataValidation type="list" allowBlank="1" showInputMessage="1" showErrorMessage="1" sqref="A6">
      <formula1>$C$6:$C$8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selection activeCell="E4" sqref="E4"/>
    </sheetView>
  </sheetViews>
  <sheetFormatPr defaultRowHeight="15" x14ac:dyDescent="0.25"/>
  <cols>
    <col min="1" max="1" width="18" customWidth="1"/>
    <col min="2" max="2" width="18.140625" customWidth="1"/>
    <col min="3" max="3" width="18.28515625" customWidth="1"/>
    <col min="4" max="5" width="18.140625" customWidth="1"/>
    <col min="6" max="6" width="18.42578125" customWidth="1"/>
  </cols>
  <sheetData>
    <row r="1" spans="1:6" x14ac:dyDescent="0.25">
      <c r="A1" s="7" t="s">
        <v>70</v>
      </c>
      <c r="B1" s="6"/>
      <c r="C1" s="6"/>
      <c r="D1" s="6"/>
      <c r="E1" s="6"/>
      <c r="F1" s="6"/>
    </row>
    <row r="2" spans="1:6" x14ac:dyDescent="0.25">
      <c r="A2" s="6"/>
      <c r="B2" s="6"/>
      <c r="C2" s="6"/>
      <c r="D2" s="6"/>
      <c r="E2" s="6"/>
      <c r="F2" s="6"/>
    </row>
    <row r="3" spans="1:6" x14ac:dyDescent="0.25">
      <c r="A3" s="1" t="s">
        <v>65</v>
      </c>
      <c r="B3" s="1" t="s">
        <v>66</v>
      </c>
      <c r="C3" s="1" t="s">
        <v>67</v>
      </c>
      <c r="D3" t="s">
        <v>68</v>
      </c>
      <c r="E3" s="1" t="s">
        <v>88</v>
      </c>
      <c r="F3" s="1" t="s">
        <v>69</v>
      </c>
    </row>
    <row r="4" spans="1:6" x14ac:dyDescent="0.25">
      <c r="A4" s="9" t="s">
        <v>71</v>
      </c>
      <c r="B4" s="1" t="s">
        <v>74</v>
      </c>
      <c r="C4" s="1" t="s">
        <v>76</v>
      </c>
      <c r="D4" s="8" t="s">
        <v>98</v>
      </c>
      <c r="E4" s="1" t="str">
        <f t="shared" ref="E4:E7" si="0">VLOOKUP(TRIM(D4), $A$14:$D$17, 2, FALSE)</f>
        <v>Emotet</v>
      </c>
      <c r="F4" s="1" t="s">
        <v>82</v>
      </c>
    </row>
    <row r="5" spans="1:6" x14ac:dyDescent="0.25">
      <c r="A5" s="1" t="s">
        <v>72</v>
      </c>
      <c r="B5" s="1" t="s">
        <v>75</v>
      </c>
      <c r="C5" s="1" t="s">
        <v>77</v>
      </c>
      <c r="D5" t="s">
        <v>80</v>
      </c>
      <c r="E5" s="1" t="str">
        <f t="shared" si="0"/>
        <v>Lokibot</v>
      </c>
      <c r="F5" s="1" t="s">
        <v>83</v>
      </c>
    </row>
    <row r="6" spans="1:6" x14ac:dyDescent="0.25">
      <c r="A6" s="1" t="s">
        <v>73</v>
      </c>
      <c r="B6" s="1" t="s">
        <v>74</v>
      </c>
      <c r="C6" s="1" t="s">
        <v>78</v>
      </c>
      <c r="D6" s="8" t="s">
        <v>99</v>
      </c>
      <c r="E6" s="1" t="str">
        <f t="shared" si="0"/>
        <v>Cobalt Strike</v>
      </c>
      <c r="F6" s="1" t="s">
        <v>82</v>
      </c>
    </row>
    <row r="7" spans="1:6" x14ac:dyDescent="0.25">
      <c r="A7" s="1" t="s">
        <v>86</v>
      </c>
      <c r="B7" s="1" t="s">
        <v>86</v>
      </c>
      <c r="C7" s="1"/>
      <c r="E7" s="1" t="e">
        <f t="shared" si="0"/>
        <v>#N/A</v>
      </c>
      <c r="F7" s="1"/>
    </row>
    <row r="11" spans="1:6" x14ac:dyDescent="0.25">
      <c r="A11" s="11" t="s">
        <v>97</v>
      </c>
      <c r="B11" s="10"/>
      <c r="C11" s="10"/>
      <c r="D11" s="10"/>
    </row>
    <row r="12" spans="1:6" x14ac:dyDescent="0.25">
      <c r="A12" s="10"/>
      <c r="B12" s="10"/>
      <c r="C12" s="10"/>
      <c r="D12" s="10"/>
    </row>
    <row r="13" spans="1:6" x14ac:dyDescent="0.25">
      <c r="A13" s="1" t="s">
        <v>87</v>
      </c>
      <c r="B13" s="1" t="s">
        <v>88</v>
      </c>
      <c r="C13" s="1" t="s">
        <v>89</v>
      </c>
      <c r="D13" s="1" t="s">
        <v>90</v>
      </c>
    </row>
    <row r="14" spans="1:6" x14ac:dyDescent="0.25">
      <c r="A14" s="1" t="s">
        <v>79</v>
      </c>
      <c r="B14" s="1" t="s">
        <v>91</v>
      </c>
      <c r="C14" s="1" t="s">
        <v>94</v>
      </c>
      <c r="D14" s="1" t="s">
        <v>82</v>
      </c>
    </row>
    <row r="15" spans="1:6" x14ac:dyDescent="0.25">
      <c r="A15" s="1" t="s">
        <v>80</v>
      </c>
      <c r="B15" s="1" t="s">
        <v>92</v>
      </c>
      <c r="C15" s="1" t="s">
        <v>95</v>
      </c>
      <c r="D15" s="1" t="s">
        <v>83</v>
      </c>
    </row>
    <row r="16" spans="1:6" x14ac:dyDescent="0.25">
      <c r="A16" s="1" t="s">
        <v>81</v>
      </c>
      <c r="B16" s="1" t="s">
        <v>93</v>
      </c>
      <c r="C16" s="1" t="s">
        <v>96</v>
      </c>
      <c r="D16" s="1" t="s">
        <v>82</v>
      </c>
    </row>
    <row r="17" spans="1:4" x14ac:dyDescent="0.25">
      <c r="A17" s="1" t="s">
        <v>86</v>
      </c>
      <c r="B17" s="1" t="s">
        <v>86</v>
      </c>
      <c r="C17" s="1" t="s">
        <v>86</v>
      </c>
      <c r="D17" s="1"/>
    </row>
    <row r="18" spans="1:4" x14ac:dyDescent="0.25">
      <c r="A18" s="1"/>
      <c r="B18" s="1"/>
      <c r="C18" s="1"/>
      <c r="D18" s="1"/>
    </row>
  </sheetData>
  <mergeCells count="2">
    <mergeCell ref="A1:F2"/>
    <mergeCell ref="A11:D12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selection activeCell="C15" sqref="C15"/>
    </sheetView>
  </sheetViews>
  <sheetFormatPr defaultRowHeight="15" x14ac:dyDescent="0.25"/>
  <cols>
    <col min="1" max="1" width="11" customWidth="1"/>
    <col min="2" max="2" width="12.85546875" customWidth="1"/>
    <col min="3" max="3" width="18.7109375" customWidth="1"/>
    <col min="4" max="5" width="18.28515625" customWidth="1"/>
    <col min="6" max="6" width="18.42578125" customWidth="1"/>
    <col min="7" max="8" width="18" customWidth="1"/>
    <col min="9" max="9" width="18.140625" customWidth="1"/>
  </cols>
  <sheetData>
    <row r="1" spans="1:10" x14ac:dyDescent="0.25">
      <c r="A1" s="11" t="s">
        <v>142</v>
      </c>
      <c r="B1" s="11"/>
      <c r="C1" s="11"/>
      <c r="D1" s="11"/>
      <c r="E1" s="11"/>
      <c r="F1" s="11"/>
      <c r="G1" s="11"/>
      <c r="H1" s="11"/>
      <c r="I1" s="11"/>
    </row>
    <row r="2" spans="1:10" x14ac:dyDescent="0.25">
      <c r="A2" s="11"/>
      <c r="B2" s="11"/>
      <c r="C2" s="11"/>
      <c r="D2" s="11"/>
      <c r="E2" s="11"/>
      <c r="F2" s="11"/>
      <c r="G2" s="11"/>
      <c r="H2" s="11"/>
      <c r="I2" s="11"/>
    </row>
    <row r="3" spans="1:10" x14ac:dyDescent="0.25">
      <c r="A3" s="1" t="s">
        <v>84</v>
      </c>
      <c r="B3" s="1" t="s">
        <v>85</v>
      </c>
      <c r="C3" s="1" t="s">
        <v>106</v>
      </c>
      <c r="D3" s="1" t="s">
        <v>107</v>
      </c>
      <c r="E3" s="1" t="s">
        <v>108</v>
      </c>
      <c r="F3" s="1" t="s">
        <v>109</v>
      </c>
      <c r="G3" s="1" t="s">
        <v>110</v>
      </c>
      <c r="H3" s="1" t="s">
        <v>111</v>
      </c>
      <c r="I3" s="1" t="s">
        <v>112</v>
      </c>
      <c r="J3" s="1"/>
    </row>
    <row r="4" spans="1:10" x14ac:dyDescent="0.25">
      <c r="A4" s="1">
        <v>1</v>
      </c>
      <c r="B4" s="1" t="s">
        <v>100</v>
      </c>
      <c r="C4" s="1" t="s">
        <v>113</v>
      </c>
      <c r="D4" s="1" t="s">
        <v>119</v>
      </c>
      <c r="E4" s="1" t="s">
        <v>122</v>
      </c>
      <c r="F4" s="1" t="s">
        <v>128</v>
      </c>
      <c r="G4" s="1" t="s">
        <v>132</v>
      </c>
      <c r="H4" s="12">
        <v>0.02</v>
      </c>
      <c r="I4" s="1" t="s">
        <v>136</v>
      </c>
      <c r="J4" s="1"/>
    </row>
    <row r="5" spans="1:10" x14ac:dyDescent="0.25">
      <c r="A5" s="1">
        <v>2</v>
      </c>
      <c r="B5" s="1" t="s">
        <v>105</v>
      </c>
      <c r="C5" s="1" t="s">
        <v>114</v>
      </c>
      <c r="D5" s="1" t="s">
        <v>120</v>
      </c>
      <c r="E5" s="1" t="s">
        <v>123</v>
      </c>
      <c r="F5" s="1" t="s">
        <v>129</v>
      </c>
      <c r="G5" s="1" t="s">
        <v>133</v>
      </c>
      <c r="H5" s="12">
        <v>1.4999999999999999E-2</v>
      </c>
      <c r="I5" s="1" t="s">
        <v>137</v>
      </c>
      <c r="J5" s="1"/>
    </row>
    <row r="6" spans="1:10" x14ac:dyDescent="0.25">
      <c r="A6" s="1">
        <v>3</v>
      </c>
      <c r="B6" s="1" t="s">
        <v>104</v>
      </c>
      <c r="C6" s="1" t="s">
        <v>115</v>
      </c>
      <c r="D6" s="1" t="s">
        <v>121</v>
      </c>
      <c r="E6" s="1" t="s">
        <v>124</v>
      </c>
      <c r="F6" s="1" t="s">
        <v>130</v>
      </c>
      <c r="G6" s="1" t="s">
        <v>134</v>
      </c>
      <c r="H6" s="12">
        <v>1.7999999999999999E-2</v>
      </c>
      <c r="I6" s="1" t="s">
        <v>138</v>
      </c>
      <c r="J6" s="1"/>
    </row>
    <row r="7" spans="1:10" x14ac:dyDescent="0.25">
      <c r="A7" s="1">
        <v>4</v>
      </c>
      <c r="B7" s="1" t="s">
        <v>103</v>
      </c>
      <c r="C7" s="1" t="s">
        <v>116</v>
      </c>
      <c r="D7" s="1" t="s">
        <v>120</v>
      </c>
      <c r="E7" s="1" t="s">
        <v>125</v>
      </c>
      <c r="F7" s="1" t="s">
        <v>129</v>
      </c>
      <c r="G7" s="1" t="s">
        <v>133</v>
      </c>
      <c r="H7" s="12">
        <v>1.4999999999999999E-2</v>
      </c>
      <c r="I7" s="1" t="s">
        <v>139</v>
      </c>
      <c r="J7" s="1"/>
    </row>
    <row r="8" spans="1:10" x14ac:dyDescent="0.25">
      <c r="A8" s="1">
        <v>5</v>
      </c>
      <c r="B8" s="1" t="s">
        <v>102</v>
      </c>
      <c r="C8" s="1" t="s">
        <v>117</v>
      </c>
      <c r="D8" s="1" t="s">
        <v>119</v>
      </c>
      <c r="E8" s="1" t="s">
        <v>126</v>
      </c>
      <c r="F8" s="1" t="s">
        <v>128</v>
      </c>
      <c r="G8" s="1" t="s">
        <v>132</v>
      </c>
      <c r="H8" s="12">
        <v>0.02</v>
      </c>
      <c r="I8" s="1" t="s">
        <v>140</v>
      </c>
      <c r="J8" s="1"/>
    </row>
    <row r="9" spans="1:10" x14ac:dyDescent="0.25">
      <c r="A9" s="1">
        <v>6</v>
      </c>
      <c r="B9" s="1" t="s">
        <v>101</v>
      </c>
      <c r="C9" s="1" t="s">
        <v>118</v>
      </c>
      <c r="D9" s="1" t="s">
        <v>121</v>
      </c>
      <c r="E9" s="1" t="s">
        <v>127</v>
      </c>
      <c r="F9" s="1" t="s">
        <v>131</v>
      </c>
      <c r="G9" s="1" t="s">
        <v>135</v>
      </c>
      <c r="H9" s="12">
        <v>1.6E-2</v>
      </c>
      <c r="I9" s="1" t="s">
        <v>141</v>
      </c>
      <c r="J9" s="1"/>
    </row>
    <row r="12" spans="1:10" x14ac:dyDescent="0.25">
      <c r="A12" s="7" t="s">
        <v>143</v>
      </c>
      <c r="B12" s="6"/>
      <c r="C12" s="6"/>
    </row>
    <row r="13" spans="1:10" x14ac:dyDescent="0.25">
      <c r="A13" s="6"/>
      <c r="B13" s="6"/>
      <c r="C13" s="6"/>
    </row>
    <row r="14" spans="1:10" x14ac:dyDescent="0.25">
      <c r="A14" s="1" t="s">
        <v>109</v>
      </c>
      <c r="B14" s="1" t="s">
        <v>110</v>
      </c>
      <c r="C14" s="1" t="s">
        <v>111</v>
      </c>
    </row>
    <row r="15" spans="1:10" x14ac:dyDescent="0.25">
      <c r="A15" s="1" t="s">
        <v>128</v>
      </c>
      <c r="B15" s="1" t="s">
        <v>132</v>
      </c>
      <c r="C15" s="1">
        <f t="shared" ref="C15:C18" si="0">VLOOKUP(B15, $G$4:$I$9, 2, FALSE)</f>
        <v>0.02</v>
      </c>
    </row>
    <row r="16" spans="1:10" x14ac:dyDescent="0.25">
      <c r="A16" s="1" t="s">
        <v>129</v>
      </c>
      <c r="B16" s="1" t="s">
        <v>133</v>
      </c>
      <c r="C16" s="1">
        <f t="shared" si="0"/>
        <v>1.4999999999999999E-2</v>
      </c>
    </row>
    <row r="17" spans="1:3" x14ac:dyDescent="0.25">
      <c r="A17" s="1" t="s">
        <v>130</v>
      </c>
      <c r="B17" s="1" t="s">
        <v>134</v>
      </c>
      <c r="C17" s="1">
        <f t="shared" si="0"/>
        <v>1.7999999999999999E-2</v>
      </c>
    </row>
    <row r="18" spans="1:3" x14ac:dyDescent="0.25">
      <c r="A18" s="1" t="s">
        <v>131</v>
      </c>
      <c r="B18" s="1" t="s">
        <v>135</v>
      </c>
      <c r="C18" s="1">
        <f t="shared" si="0"/>
        <v>1.6E-2</v>
      </c>
    </row>
  </sheetData>
  <mergeCells count="2">
    <mergeCell ref="A1:I2"/>
    <mergeCell ref="A12:C13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Bài 2</vt:lpstr>
      <vt:lpstr>Bài 3</vt:lpstr>
      <vt:lpstr>Bài 5</vt:lpstr>
      <vt:lpstr>Bài 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2026-10-22T02:30:26Z</dcterms:created>
  <dcterms:modified xsi:type="dcterms:W3CDTF">2026-10-26T11:50:06Z</dcterms:modified>
</cp:coreProperties>
</file>